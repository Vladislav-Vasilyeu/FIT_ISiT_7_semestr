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Чек-лист автожира" sheetId="2" state="visible" r:id="rId2"/>
  </sheets>
  <definedNames>
    <definedName name="_xlnm._FilterDatabase" localSheetId="1" hidden="1">'Чек-лист автожира'!$A$3:$E$71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color rgb="FF1155CC"/>
      <sz val="10"/>
      <u val="single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rgb="FF444444"/>
      <sz val="10"/>
    </font>
    <font>
      <name val="Arial"/>
      <charset val="204"/>
      <family val="2"/>
      <color rgb="FFFF0000"/>
      <sz val="10"/>
    </font>
    <font>
      <b val="1"/>
      <color rgb="00FFFFFF"/>
    </font>
    <font>
      <b val="1"/>
      <sz val="14"/>
    </font>
    <font>
      <b val="1"/>
      <sz val="11"/>
    </font>
    <font>
      <b val="1"/>
    </font>
    <font>
      <b val="1"/>
      <sz val="15"/>
    </font>
  </fonts>
  <fills count="16">
    <fill>
      <patternFill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5" fillId="0" borderId="0"/>
  </cellStyleXfs>
  <cellXfs count="70">
    <xf numFmtId="0" fontId="0" fillId="0" borderId="0" pivotButton="0" quotePrefix="0" xfId="0"/>
    <xf numFmtId="0" fontId="3" fillId="0" borderId="4" pivotButton="0" quotePrefix="0" xfId="0"/>
    <xf numFmtId="0" fontId="2" fillId="0" borderId="0" pivotButton="0" quotePrefix="0" xfId="0"/>
    <xf numFmtId="0" fontId="3" fillId="3" borderId="4" applyAlignment="1" pivotButton="0" quotePrefix="0" xfId="0">
      <alignment horizontal="center" wrapText="1"/>
    </xf>
    <xf numFmtId="0" fontId="2" fillId="0" borderId="6" pivotButton="0" quotePrefix="0" xfId="0"/>
    <xf numFmtId="0" fontId="3" fillId="4" borderId="4" applyAlignment="1" pivotButton="0" quotePrefix="0" xfId="0">
      <alignment horizontal="center" wrapText="1"/>
    </xf>
    <xf numFmtId="0" fontId="4" fillId="0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wrapText="1"/>
    </xf>
    <xf numFmtId="0" fontId="2" fillId="5" borderId="4" pivotButton="0" quotePrefix="0" xfId="0"/>
    <xf numFmtId="0" fontId="1" fillId="6" borderId="4" applyAlignment="1" pivotButton="0" quotePrefix="0" xfId="0">
      <alignment wrapText="1"/>
    </xf>
    <xf numFmtId="0" fontId="2" fillId="7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/>
    </xf>
    <xf numFmtId="0" fontId="2" fillId="8" borderId="0" applyAlignment="1" pivotButton="0" quotePrefix="0" xfId="0">
      <alignment horizontal="right" wrapText="1"/>
    </xf>
    <xf numFmtId="0" fontId="2" fillId="5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9" applyAlignment="1" pivotButton="0" quotePrefix="0" xfId="0">
      <alignment horizontal="center" vertical="center" wrapText="1"/>
    </xf>
    <xf numFmtId="0" fontId="5" fillId="0" borderId="4" pivotButton="0" quotePrefix="0" xfId="1"/>
    <xf numFmtId="0" fontId="2" fillId="5" borderId="3" pivotButton="0" quotePrefix="0" xfId="0"/>
    <xf numFmtId="0" fontId="2" fillId="0" borderId="5" applyAlignment="1" pivotButton="0" quotePrefix="0" xfId="0">
      <alignment wrapText="1"/>
    </xf>
    <xf numFmtId="0" fontId="1" fillId="6" borderId="6" applyAlignment="1" pivotButton="0" quotePrefix="0" xfId="0">
      <alignment wrapText="1"/>
    </xf>
    <xf numFmtId="0" fontId="1" fillId="0" borderId="9" pivotButton="0" quotePrefix="0" xfId="0"/>
    <xf numFmtId="0" fontId="2" fillId="0" borderId="1" pivotButton="0" quotePrefix="0" xfId="0"/>
    <xf numFmtId="0" fontId="2" fillId="0" borderId="6" applyAlignment="1" pivotButton="0" quotePrefix="0" xfId="0">
      <alignment wrapText="1"/>
    </xf>
    <xf numFmtId="0" fontId="7" fillId="0" borderId="9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5" borderId="2" pivotButton="0" quotePrefix="0" xfId="0"/>
    <xf numFmtId="0" fontId="2" fillId="0" borderId="5" pivotButton="0" quotePrefix="0" xfId="0"/>
    <xf numFmtId="0" fontId="2" fillId="0" borderId="9" applyAlignment="1" pivotButton="0" quotePrefix="0" xfId="0">
      <alignment vertical="top" wrapText="1"/>
    </xf>
    <xf numFmtId="0" fontId="2" fillId="0" borderId="9" pivotButton="0" quotePrefix="0" xfId="0"/>
    <xf numFmtId="0" fontId="2" fillId="5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6" pivotButton="0" quotePrefix="0" xfId="0"/>
    <xf numFmtId="0" fontId="8" fillId="0" borderId="9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5" applyAlignment="1" pivotButton="0" quotePrefix="0" xfId="0">
      <alignment horizont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9" fillId="9" borderId="0" pivotButton="0" quotePrefix="0" xfId="0"/>
    <xf numFmtId="0" fontId="10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1" fillId="3" borderId="4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 wrapText="1"/>
    </xf>
    <xf numFmtId="0" fontId="9" fillId="9" borderId="4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top" wrapText="1"/>
    </xf>
    <xf numFmtId="0" fontId="12" fillId="0" borderId="16" applyAlignment="1" pivotButton="0" quotePrefix="0" xfId="0">
      <alignment vertical="top" wrapText="1"/>
    </xf>
    <xf numFmtId="0" fontId="1" fillId="0" borderId="16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0" fontId="8" fillId="10" borderId="16" applyAlignment="1" pivotButton="0" quotePrefix="0" xfId="0">
      <alignment vertical="top" wrapText="1"/>
    </xf>
    <xf numFmtId="0" fontId="12" fillId="10" borderId="16" applyAlignment="1" pivotButton="0" quotePrefix="0" xfId="0">
      <alignment vertical="top" wrapText="1"/>
    </xf>
    <xf numFmtId="0" fontId="2" fillId="10" borderId="16" applyAlignment="1" pivotButton="0" quotePrefix="0" xfId="0">
      <alignment vertical="top" wrapText="1"/>
    </xf>
    <xf numFmtId="0" fontId="0" fillId="10" borderId="16" applyAlignment="1" pivotButton="0" quotePrefix="0" xfId="0">
      <alignment vertical="top" wrapText="1"/>
    </xf>
    <xf numFmtId="0" fontId="1" fillId="10" borderId="16" applyAlignment="1" pivotButton="0" quotePrefix="0" xfId="0">
      <alignment vertical="top" wrapText="1"/>
    </xf>
    <xf numFmtId="0" fontId="2" fillId="0" borderId="0" applyAlignment="1" pivotButton="0" quotePrefix="0" xfId="0">
      <alignment horizontal="right" wrapText="1"/>
    </xf>
    <xf numFmtId="0" fontId="12" fillId="0" borderId="0" pivotButton="0" quotePrefix="0" xfId="0"/>
    <xf numFmtId="0" fontId="0" fillId="11" borderId="0" pivotButton="0" quotePrefix="0" xfId="0"/>
    <xf numFmtId="0" fontId="2" fillId="12" borderId="0" applyAlignment="1" pivotButton="0" quotePrefix="0" xfId="0">
      <alignment horizontal="right"/>
    </xf>
    <xf numFmtId="0" fontId="2" fillId="13" borderId="0" applyAlignment="1" pivotButton="0" quotePrefix="0" xfId="0">
      <alignment horizontal="right"/>
    </xf>
    <xf numFmtId="0" fontId="0" fillId="14" borderId="0" pivotButton="0" quotePrefix="0" xfId="0"/>
    <xf numFmtId="0" fontId="0" fillId="15" borderId="0" pivotButton="0" quotePrefix="0" xfId="0"/>
    <xf numFmtId="0" fontId="0" fillId="0" borderId="0" applyAlignment="1" pivotButton="0" quotePrefix="0" xfId="0">
      <alignment wrapText="1"/>
    </xf>
  </cellXfs>
  <cellStyles count="2">
    <cellStyle name="Обычный" xfId="0" builtinId="0"/>
    <cellStyle name="Гиперссылка" xfId="1" builtinId="8"/>
  </cellStyles>
  <dxfs count="2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4" t="inlineStr">
        <is>
          <t>Лабораторная работа №2 — Итоги тестирования</t>
        </is>
      </c>
    </row>
    <row r="3">
      <c r="A3" s="45" t="inlineStr">
        <is>
          <t>Статус</t>
        </is>
      </c>
      <c r="B3" s="45" t="inlineStr">
        <is>
          <t>Количество</t>
        </is>
      </c>
      <c r="C3" s="45" t="n"/>
      <c r="D3" s="45" t="n"/>
    </row>
    <row r="4">
      <c r="A4" t="inlineStr">
        <is>
          <t>Passed</t>
        </is>
      </c>
      <c r="B4">
        <f>COUNTIF('Чек-лист автожира'!D4:D71,"Passed")</f>
        <v/>
      </c>
    </row>
    <row r="5">
      <c r="A5" t="inlineStr">
        <is>
          <t>Failed</t>
        </is>
      </c>
      <c r="B5">
        <f>COUNTIF('Чек-лист автожира'!D4:D71,"Failed")</f>
        <v/>
      </c>
    </row>
    <row r="6">
      <c r="A6" t="inlineStr">
        <is>
          <t>Blocked</t>
        </is>
      </c>
      <c r="B6">
        <f>COUNTIF('Чек-лист автожира'!D4:D71,"Blocked")</f>
        <v/>
      </c>
    </row>
    <row r="7">
      <c r="A7" t="inlineStr">
        <is>
          <t>Not applied</t>
        </is>
      </c>
      <c r="B7">
        <f>COUNTIF('Чек-лист автожира'!D4:D71,"Not applied")</f>
        <v/>
      </c>
    </row>
    <row r="8">
      <c r="A8" t="inlineStr">
        <is>
          <t>Not tested</t>
        </is>
      </c>
      <c r="B8">
        <f>COUNTIF('Чек-лист автожира'!D4:D71,"Not tested")</f>
        <v/>
      </c>
    </row>
    <row r="10">
      <c r="A10" t="inlineStr">
        <is>
          <t>Всего проверок</t>
        </is>
      </c>
      <c r="B10">
        <f>COUNTA('Чек-лист автожира'!B4:B71)</f>
        <v/>
      </c>
    </row>
    <row r="11">
      <c r="A11" t="inlineStr">
        <is>
          <t>Особенность</t>
        </is>
      </c>
      <c r="B11" t="inlineStr">
        <is>
          <t>Чек-лист адаптирован под web/Windows Unity-проект; добавлены проверки CP-01…CP-23 по Mind Map.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79"/>
  <sheetViews>
    <sheetView tabSelected="1" workbookViewId="0">
      <pane ySplit="3" topLeftCell="A4" activePane="bottomLeft" state="frozen"/>
      <selection pane="bottomLeft" activeCell="F3" sqref="F3"/>
    </sheetView>
  </sheetViews>
  <sheetFormatPr baseColWidth="8" defaultColWidth="14.42578125" defaultRowHeight="15.75" customHeight="1"/>
  <cols>
    <col width="24" customWidth="1" style="16" min="1" max="1"/>
    <col width="10" customWidth="1" style="16" min="2" max="2"/>
    <col width="68" customWidth="1" style="16" min="3" max="3"/>
    <col width="18" customWidth="1" style="16" min="4" max="4"/>
    <col width="75" customWidth="1" style="16" min="5" max="5"/>
    <col width="34.5703125" customWidth="1" style="16" min="6" max="6"/>
    <col width="14.42578125" customWidth="1" style="16" min="7" max="16384"/>
  </cols>
  <sheetData>
    <row r="1" ht="24" customHeight="1">
      <c r="A1" s="46" t="inlineStr">
        <is>
          <t>Лабораторная работа №2 — Тестирование по чек-листу</t>
        </is>
      </c>
      <c r="B1" s="47" t="n"/>
      <c r="C1" s="47" t="n"/>
      <c r="D1" s="47" t="n"/>
      <c r="E1" s="48" t="n"/>
      <c r="J1" s="2" t="n"/>
    </row>
    <row r="2" ht="20" customHeight="1">
      <c r="A2" s="49" t="inlineStr">
        <is>
          <t>Приложение: «Симулятор управления автожиром М-24 «Орион»»</t>
        </is>
      </c>
      <c r="B2" s="47" t="n"/>
      <c r="C2" s="47" t="n"/>
      <c r="D2" s="47" t="n"/>
      <c r="E2" s="48" t="n"/>
      <c r="F2" s="1" t="inlineStr">
        <is>
          <t>Guidelines:</t>
        </is>
      </c>
      <c r="J2" s="2" t="n"/>
    </row>
    <row r="3" ht="30" customHeight="1">
      <c r="A3" s="50" t="inlineStr">
        <is>
          <t>Категория</t>
        </is>
      </c>
      <c r="B3" s="50" t="inlineStr">
        <is>
          <t>ID</t>
        </is>
      </c>
      <c r="C3" s="50" t="inlineStr">
        <is>
          <t>Проверка</t>
        </is>
      </c>
      <c r="D3" s="51" t="inlineStr">
        <is>
          <t>Статус</t>
        </is>
      </c>
      <c r="E3" s="50" t="inlineStr">
        <is>
          <t>Примечание</t>
        </is>
      </c>
      <c r="F3" s="19">
        <f>HYPERLINK("https://learn.microsoft.com/ru-ru/windows/apps/get-started/best-practices","Разработка приложений Windows — рекомендации")</f>
        <v/>
      </c>
    </row>
    <row r="4" ht="42" customHeight="1">
      <c r="A4" s="52" t="inlineStr">
        <is>
          <t>Установка</t>
        </is>
      </c>
      <c r="B4" s="53" t="inlineStr">
        <is>
          <t>CT-1</t>
        </is>
      </c>
      <c r="C4" s="54" t="inlineStr">
        <is>
          <t>Запускается ли программа после установки</t>
        </is>
      </c>
      <c r="D4" s="52" t="inlineStr">
        <is>
          <t>Blocked</t>
        </is>
      </c>
      <c r="E4" s="52" t="inlineStr">
        <is>
          <t>Требуется запуск готового Windows-сборочного файла на локальном ПК; удалённо по репозиторию не проверяется.</t>
        </is>
      </c>
      <c r="F4" s="6" t="n"/>
    </row>
    <row r="5" ht="42" customHeight="1">
      <c r="A5" s="55" t="inlineStr">
        <is>
          <t>Установка</t>
        </is>
      </c>
      <c r="B5" s="53" t="inlineStr">
        <is>
          <t>CT-2</t>
        </is>
      </c>
      <c r="C5" s="54" t="inlineStr">
        <is>
          <t>Расположение программы в файловой системе по умолчанию</t>
        </is>
      </c>
      <c r="D5" s="52" t="inlineStr">
        <is>
          <t>Not applied</t>
        </is>
      </c>
      <c r="E5" s="52" t="inlineStr">
        <is>
          <t>Отдельный установщик MSI/Setup в проекте не предусмотрен; используется готовая сборка.</t>
        </is>
      </c>
    </row>
    <row r="6" ht="42" customHeight="1">
      <c r="A6" s="55" t="inlineStr">
        <is>
          <t>Установка</t>
        </is>
      </c>
      <c r="B6" s="53" t="inlineStr">
        <is>
          <t>CT-3</t>
        </is>
      </c>
      <c r="C6" s="54" t="inlineStr">
        <is>
          <t>Расположение программы в файловой системе если путь сохранения изменен пользователем</t>
        </is>
      </c>
      <c r="D6" s="52" t="inlineStr">
        <is>
          <t>Not applied</t>
        </is>
      </c>
      <c r="E6" s="52" t="inlineStr">
        <is>
          <t>Установщик с выбором каталога не предусмотрен.</t>
        </is>
      </c>
    </row>
    <row r="7" ht="42" customHeight="1">
      <c r="A7" s="55" t="inlineStr">
        <is>
          <t>Установка</t>
        </is>
      </c>
      <c r="B7" s="53" t="inlineStr">
        <is>
          <t>CT-4</t>
        </is>
      </c>
      <c r="C7" s="54" t="inlineStr">
        <is>
          <t>Наличие ярлыка на рабочем столе</t>
        </is>
      </c>
      <c r="D7" s="52" t="inlineStr">
        <is>
          <t>Not applied</t>
        </is>
      </c>
      <c r="E7" s="52" t="inlineStr">
        <is>
          <t>Создание ярлыка установщиком не предусмотрено.</t>
        </is>
      </c>
    </row>
    <row r="8" ht="42" customHeight="1">
      <c r="A8" s="55" t="inlineStr">
        <is>
          <t>Установка</t>
        </is>
      </c>
      <c r="B8" s="53" t="inlineStr">
        <is>
          <t>CT-5</t>
        </is>
      </c>
      <c r="C8" s="54" t="inlineStr">
        <is>
          <t>Есть ли установленный компонент в меню Пуск &gt; Программы</t>
        </is>
      </c>
      <c r="D8" s="52" t="inlineStr">
        <is>
          <t>Not applied</t>
        </is>
      </c>
      <c r="E8" s="52" t="inlineStr">
        <is>
          <t>Установщик с регистрацией в меню Пуск не предусмотрен.</t>
        </is>
      </c>
    </row>
    <row r="9" ht="42" customHeight="1">
      <c r="A9" s="55" t="inlineStr">
        <is>
          <t>Установка</t>
        </is>
      </c>
      <c r="B9" s="53" t="inlineStr">
        <is>
          <t>CT-6</t>
        </is>
      </c>
      <c r="C9" s="54" t="inlineStr">
        <is>
          <t>Установка программы для текущего пользователя/для всех пользователей компьютера</t>
        </is>
      </c>
      <c r="D9" s="52" t="inlineStr">
        <is>
          <t>Not applied</t>
        </is>
      </c>
      <c r="E9" s="52" t="inlineStr">
        <is>
          <t>Отдельный установщик не предусмотрен.</t>
        </is>
      </c>
    </row>
    <row r="10" ht="42" customHeight="1">
      <c r="A10" s="55" t="inlineStr">
        <is>
          <t>Установка</t>
        </is>
      </c>
      <c r="B10" s="53" t="inlineStr">
        <is>
          <t>CT-7</t>
        </is>
      </c>
      <c r="C10" s="54" t="inlineStr">
        <is>
          <t>Установка пользователем с правами админа</t>
        </is>
      </c>
      <c r="D10" s="52" t="inlineStr">
        <is>
          <t>Not applied</t>
        </is>
      </c>
      <c r="E10" s="52" t="inlineStr">
        <is>
          <t>Отдельный установщик не предусмотрен.</t>
        </is>
      </c>
    </row>
    <row r="11" ht="42" customHeight="1">
      <c r="A11" s="55" t="inlineStr">
        <is>
          <t>Установка</t>
        </is>
      </c>
      <c r="B11" s="53" t="inlineStr">
        <is>
          <t>CT-8</t>
        </is>
      </c>
      <c r="C11" s="54" t="inlineStr">
        <is>
          <t>Установка пользователем без прав админа</t>
        </is>
      </c>
      <c r="D11" s="52" t="inlineStr">
        <is>
          <t>Not applied</t>
        </is>
      </c>
      <c r="E11" s="52" t="inlineStr">
        <is>
          <t>Отдельный установщик не предусмотрен.</t>
        </is>
      </c>
    </row>
    <row r="12" ht="42" customHeight="1">
      <c r="A12" s="52" t="inlineStr">
        <is>
          <t>Обновление</t>
        </is>
      </c>
      <c r="B12" s="53" t="inlineStr">
        <is>
          <t>CT-9</t>
        </is>
      </c>
      <c r="C12" s="54" t="inlineStr">
        <is>
          <t>Автоматическое обновление</t>
        </is>
      </c>
      <c r="D12" s="52" t="inlineStr">
        <is>
          <t>Not applied</t>
        </is>
      </c>
      <c r="E12" s="52" t="inlineStr">
        <is>
          <t>Механизм автообновления в проекте не заявлен.</t>
        </is>
      </c>
    </row>
    <row r="13" ht="42" customHeight="1">
      <c r="A13" s="55" t="inlineStr">
        <is>
          <t>Обновление</t>
        </is>
      </c>
      <c r="B13" s="53" t="inlineStr">
        <is>
          <t>CT-10</t>
        </is>
      </c>
      <c r="C13" s="54" t="inlineStr">
        <is>
          <t>Ручное обновление</t>
        </is>
      </c>
      <c r="D13" s="52" t="inlineStr">
        <is>
          <t>Not applied</t>
        </is>
      </c>
      <c r="E13" s="52" t="inlineStr">
        <is>
          <t>Механизм обновления приложения не заявлен.</t>
        </is>
      </c>
    </row>
    <row r="14" ht="42" customHeight="1">
      <c r="A14" s="55" t="inlineStr">
        <is>
          <t>Обновление</t>
        </is>
      </c>
      <c r="B14" s="53" t="inlineStr">
        <is>
          <t>CT-11</t>
        </is>
      </c>
      <c r="C14" s="52" t="inlineStr">
        <is>
          <t>Проверка сохранности файлов, созданных до обновления</t>
        </is>
      </c>
      <c r="D14" s="52" t="inlineStr">
        <is>
          <t>Not applied</t>
        </is>
      </c>
      <c r="E14" s="52" t="inlineStr">
        <is>
          <t>Пользовательские данные, создаваемые приложением, не являются частью сценария обновления.</t>
        </is>
      </c>
    </row>
    <row r="15" ht="42" customHeight="1">
      <c r="A15" s="55" t="inlineStr">
        <is>
          <t>Обновление</t>
        </is>
      </c>
      <c r="B15" s="53" t="inlineStr">
        <is>
          <t>CT-12</t>
        </is>
      </c>
      <c r="C15" s="52" t="inlineStr">
        <is>
          <t>Проверка данных пользователя после обновления</t>
        </is>
      </c>
      <c r="D15" s="52" t="inlineStr">
        <is>
          <t>Not applied</t>
        </is>
      </c>
      <c r="E15" s="52" t="inlineStr">
        <is>
          <t>Учётные записи/пользовательские данные не предусмотрены.</t>
        </is>
      </c>
    </row>
    <row r="16" ht="42" customHeight="1">
      <c r="A16" s="55" t="inlineStr">
        <is>
          <t>Обновление</t>
        </is>
      </c>
      <c r="B16" s="53" t="inlineStr">
        <is>
          <t>CT-13</t>
        </is>
      </c>
      <c r="C16" s="52" t="inlineStr">
        <is>
          <t>Проверка основного функционала после обновления</t>
        </is>
      </c>
      <c r="D16" s="52" t="inlineStr">
        <is>
          <t>Not applied</t>
        </is>
      </c>
      <c r="E16" s="52" t="inlineStr">
        <is>
          <t>Отдельный механизм обновления не предусмотрен.</t>
        </is>
      </c>
    </row>
    <row r="17" ht="42" customHeight="1">
      <c r="A17" s="52" t="inlineStr">
        <is>
          <t>Деинсталляция</t>
        </is>
      </c>
      <c r="B17" s="53" t="inlineStr">
        <is>
          <t>CT-14</t>
        </is>
      </c>
      <c r="C17" s="52" t="inlineStr">
        <is>
          <t>Файлы должны удалиться</t>
        </is>
      </c>
      <c r="D17" s="52" t="inlineStr">
        <is>
          <t>Not applied</t>
        </is>
      </c>
      <c r="E17" s="52" t="inlineStr">
        <is>
          <t>Удаление через системный деинсталлятор не предусмотрено.</t>
        </is>
      </c>
    </row>
    <row r="18" ht="42" customHeight="1">
      <c r="A18" s="55" t="inlineStr">
        <is>
          <t>Деинсталляция</t>
        </is>
      </c>
      <c r="B18" s="53" t="inlineStr">
        <is>
          <t>CT-15</t>
        </is>
      </c>
      <c r="C18" s="52" t="inlineStr">
        <is>
          <t>Ярлык с рабочего стола удален</t>
        </is>
      </c>
      <c r="D18" s="52" t="inlineStr">
        <is>
          <t>Not applied</t>
        </is>
      </c>
      <c r="E18" s="52" t="inlineStr">
        <is>
          <t>Ярлык установщиком не создаётся.</t>
        </is>
      </c>
    </row>
    <row r="19" ht="42" customHeight="1">
      <c r="A19" s="55" t="inlineStr">
        <is>
          <t>Деинсталляция</t>
        </is>
      </c>
      <c r="B19" s="53" t="inlineStr">
        <is>
          <t>CT-16</t>
        </is>
      </c>
      <c r="C19" s="52" t="inlineStr">
        <is>
          <t>Удалена запись из меню Пуск &gt; Все программы</t>
        </is>
      </c>
      <c r="D19" s="52" t="inlineStr">
        <is>
          <t>Not applied</t>
        </is>
      </c>
      <c r="E19" s="52" t="inlineStr">
        <is>
          <t>Запись установщиком не создаётся.</t>
        </is>
      </c>
    </row>
    <row r="20" ht="42" customHeight="1">
      <c r="A20" s="52" t="inlineStr">
        <is>
          <t>Дизайн</t>
        </is>
      </c>
      <c r="B20" s="53" t="inlineStr">
        <is>
          <t>CT-17</t>
        </is>
      </c>
      <c r="C20" s="56" t="inlineStr">
        <is>
          <t>Текстовая структура страниц не содержит лексические и грамматические ошибки</t>
        </is>
      </c>
      <c r="D20" s="52" t="inlineStr">
        <is>
          <t>Passed</t>
        </is>
      </c>
      <c r="E20" s="52" t="inlineStr">
        <is>
          <t>Страницы web-части проекта присутствуют; проверка выполнена по содержимому репозитория.</t>
        </is>
      </c>
    </row>
    <row r="21" ht="42" customHeight="1">
      <c r="A21" s="55" t="inlineStr">
        <is>
          <t>Дизайн</t>
        </is>
      </c>
      <c r="B21" s="53" t="inlineStr">
        <is>
          <t>CT-18</t>
        </is>
      </c>
      <c r="C21" s="52" t="inlineStr">
        <is>
          <t>Есть логотип и блок с контактной информацией</t>
        </is>
      </c>
      <c r="D21" s="52" t="inlineStr">
        <is>
          <t>Passed</t>
        </is>
      </c>
      <c r="E21" s="52" t="inlineStr">
        <is>
          <t>В web-части предусмотрены титульная страница и авторская информация; наличие отдельных элементов проверено по репозиторию.</t>
        </is>
      </c>
    </row>
    <row r="22" ht="42" customHeight="1">
      <c r="A22" s="55" t="inlineStr">
        <is>
          <t>Дизайн</t>
        </is>
      </c>
      <c r="B22" s="53" t="inlineStr">
        <is>
          <t>CT-19</t>
        </is>
      </c>
      <c r="C22" s="52" t="inlineStr">
        <is>
          <t>Все кнопки имеют единую форму и цветовой стандарт</t>
        </is>
      </c>
      <c r="D22" s="52" t="inlineStr">
        <is>
          <t>Blocked</t>
        </is>
      </c>
      <c r="E22" s="52" t="inlineStr">
        <is>
          <t>Требуется визуальный просмотр запущенной web-части на экране.</t>
        </is>
      </c>
    </row>
    <row r="23" ht="42" customHeight="1">
      <c r="A23" s="55" t="inlineStr">
        <is>
          <t>Дизайн</t>
        </is>
      </c>
      <c r="B23" s="53" t="inlineStr">
        <is>
          <t>CT-20</t>
        </is>
      </c>
      <c r="C23" s="52" t="inlineStr">
        <is>
          <t>Правильное отображение всех элементов на разных разрешениях экрана</t>
        </is>
      </c>
      <c r="D23" s="52" t="inlineStr">
        <is>
          <t>Blocked</t>
        </is>
      </c>
      <c r="E23" s="52" t="inlineStr">
        <is>
          <t>Требуется запуск web-части и проверка на нескольких разрешениях.</t>
        </is>
      </c>
    </row>
    <row r="24" ht="42" customHeight="1">
      <c r="A24" s="55" t="inlineStr">
        <is>
          <t>Дизайн</t>
        </is>
      </c>
      <c r="B24" s="53" t="inlineStr">
        <is>
          <t>CT-21</t>
        </is>
      </c>
      <c r="C24" s="52" t="inlineStr">
        <is>
          <t>Корректно работают кнопки сворачивания, разворачивания и закрытия приложения</t>
        </is>
      </c>
      <c r="D24" s="52" t="inlineStr">
        <is>
          <t>Blocked</t>
        </is>
      </c>
      <c r="E24" s="52" t="inlineStr">
        <is>
          <t>Для Windows/WebGL нужен фактический запуск.</t>
        </is>
      </c>
    </row>
    <row r="25" ht="42" customHeight="1">
      <c r="A25" s="55" t="inlineStr">
        <is>
          <t>Дизайн</t>
        </is>
      </c>
      <c r="B25" s="53" t="inlineStr">
        <is>
          <t>CT-22</t>
        </is>
      </c>
      <c r="C25" s="52" t="inlineStr">
        <is>
          <t>Текст в уведомлениях отображается корректно</t>
        </is>
      </c>
      <c r="D25" s="52" t="inlineStr">
        <is>
          <t>Blocked</t>
        </is>
      </c>
      <c r="E25" s="52" t="inlineStr">
        <is>
          <t>Уведомления и подсказки требуют runtime-проверки.</t>
        </is>
      </c>
    </row>
    <row r="26" ht="42" customHeight="1">
      <c r="A26" s="55" t="inlineStr">
        <is>
          <t>Дизайн</t>
        </is>
      </c>
      <c r="B26" s="53" t="inlineStr">
        <is>
          <t>CT-23</t>
        </is>
      </c>
      <c r="C26" s="54" t="inlineStr">
        <is>
          <t>При смене темы корректно изменяется цветовое оформление элементов</t>
        </is>
      </c>
      <c r="D26" s="52" t="inlineStr">
        <is>
          <t>Not applied</t>
        </is>
      </c>
      <c r="E26" s="52" t="inlineStr">
        <is>
          <t>Переключатель темы в проекте не заявлен.</t>
        </is>
      </c>
    </row>
    <row r="27" ht="42" customHeight="1">
      <c r="A27" s="52" t="inlineStr">
        <is>
          <t>Работа в фоновом режиме</t>
        </is>
      </c>
      <c r="B27" s="53" t="inlineStr">
        <is>
          <t>CT-24</t>
        </is>
      </c>
      <c r="C27" s="52" t="inlineStr">
        <is>
          <t>Приложение правильно сохраняет свое состояние при возврате к предыдущим данным</t>
        </is>
      </c>
      <c r="D27" s="52" t="inlineStr">
        <is>
          <t>Not applied</t>
        </is>
      </c>
      <c r="E27" s="52" t="inlineStr">
        <is>
          <t>Сценарий фонового режима и сохранения состояния между сессиями не предусмотрен.</t>
        </is>
      </c>
    </row>
    <row r="28" ht="42" customHeight="1">
      <c r="A28" s="52" t="inlineStr">
        <is>
          <t>Взаимодействие с устройствами</t>
        </is>
      </c>
      <c r="B28" s="53" t="inlineStr">
        <is>
          <t>CT-25</t>
        </is>
      </c>
      <c r="C28" s="52" t="inlineStr">
        <is>
          <t>Проверка ситуации, когда устройство заявлено системой, но фактически недоступно</t>
        </is>
      </c>
      <c r="D28" s="52" t="inlineStr">
        <is>
          <t>Not applied</t>
        </is>
      </c>
      <c r="E28" s="52" t="inlineStr">
        <is>
          <t>Внешние периферийные устройства не используются как обязательная часть функционала.</t>
        </is>
      </c>
    </row>
    <row r="29" ht="42" customHeight="1">
      <c r="A29" s="52" t="inlineStr">
        <is>
          <t>Вызов сторонних приложений</t>
        </is>
      </c>
      <c r="B29" s="53" t="inlineStr">
        <is>
          <t>CT-26</t>
        </is>
      </c>
      <c r="C29" s="52" t="inlineStr">
        <is>
          <t>Проверить вызов сторонних приложений, если он предусмотрен</t>
        </is>
      </c>
      <c r="D29" s="52" t="inlineStr">
        <is>
          <t>Not applied</t>
        </is>
      </c>
      <c r="E29" s="52" t="inlineStr">
        <is>
          <t>Вызов сторонних приложений не является функцией проекта.</t>
        </is>
      </c>
    </row>
    <row r="30" ht="42" customHeight="1">
      <c r="A30" s="52" t="inlineStr">
        <is>
          <t>Тестирование утечек памяти</t>
        </is>
      </c>
      <c r="B30" s="53" t="inlineStr">
        <is>
          <t>CT-27</t>
        </is>
      </c>
      <c r="C30" s="52" t="inlineStr">
        <is>
          <t>После завершения ресурсоемких задач приложение освобождает ОЗУ</t>
        </is>
      </c>
      <c r="D30" s="52" t="inlineStr">
        <is>
          <t>Blocked</t>
        </is>
      </c>
      <c r="E30" s="52" t="inlineStr">
        <is>
          <t>Требуется фактический запуск и профилирование процесса.</t>
        </is>
      </c>
    </row>
    <row r="31" ht="42" customHeight="1">
      <c r="A31" s="52" t="inlineStr">
        <is>
          <t>Локализация/глобализация</t>
        </is>
      </c>
      <c r="B31" s="53" t="inlineStr">
        <is>
          <t>CT-28</t>
        </is>
      </c>
      <c r="C31" s="52" t="inlineStr">
        <is>
          <t>При изменении языка изменяются надписи всех элементов</t>
        </is>
      </c>
      <c r="D31" s="52" t="inlineStr">
        <is>
          <t>Not applied</t>
        </is>
      </c>
      <c r="E31" s="52" t="inlineStr">
        <is>
          <t>Мультиязычный интерфейс не заявлен.</t>
        </is>
      </c>
    </row>
    <row r="32" ht="42" customHeight="1">
      <c r="A32" s="55" t="inlineStr">
        <is>
          <t>Локализация/глобализация</t>
        </is>
      </c>
      <c r="B32" s="53" t="inlineStr">
        <is>
          <t>CT-29</t>
        </is>
      </c>
      <c r="C32" s="54" t="inlineStr">
        <is>
          <t>Оповещения отображаются на выбранном языке</t>
        </is>
      </c>
      <c r="D32" s="52" t="inlineStr">
        <is>
          <t>Not applied</t>
        </is>
      </c>
      <c r="E32" s="52" t="inlineStr">
        <is>
          <t>Мультиязычный интерфейс не заявлен.</t>
        </is>
      </c>
    </row>
    <row r="33" ht="42" customHeight="1">
      <c r="A33" s="55" t="inlineStr">
        <is>
          <t>Локализация/глобализация</t>
        </is>
      </c>
      <c r="B33" s="53" t="inlineStr">
        <is>
          <t>CT-30</t>
        </is>
      </c>
      <c r="C33" s="52" t="inlineStr">
        <is>
          <t>Корректное отображение цен с денежными символами</t>
        </is>
      </c>
      <c r="D33" s="52" t="inlineStr">
        <is>
          <t>Not applied</t>
        </is>
      </c>
      <c r="E33" s="52" t="inlineStr">
        <is>
          <t>Маркет/цены отсутствуют.</t>
        </is>
      </c>
    </row>
    <row r="34" ht="42" customHeight="1">
      <c r="A34" s="52" t="inlineStr">
        <is>
          <t>Регистрация</t>
        </is>
      </c>
      <c r="B34" s="53" t="inlineStr">
        <is>
          <t>CT-31</t>
        </is>
      </c>
      <c r="C34" s="52" t="inlineStr">
        <is>
          <t>Регистрация невозможна без заполнения обязательных полей</t>
        </is>
      </c>
      <c r="D34" s="52" t="inlineStr">
        <is>
          <t>Not applied</t>
        </is>
      </c>
      <c r="E34" s="52" t="inlineStr">
        <is>
          <t>Регистрация пользователей не предусмотрена.</t>
        </is>
      </c>
    </row>
    <row r="35" ht="42" customHeight="1">
      <c r="A35" s="55" t="inlineStr">
        <is>
          <t>Регистрация</t>
        </is>
      </c>
      <c r="B35" s="53" t="inlineStr">
        <is>
          <t>CT-32</t>
        </is>
      </c>
      <c r="C35" s="52" t="inlineStr">
        <is>
          <t>Регистрация невозможна при некорректном заполнении обязательных полей</t>
        </is>
      </c>
      <c r="D35" s="52" t="inlineStr">
        <is>
          <t>Not applied</t>
        </is>
      </c>
      <c r="E35" s="52" t="inlineStr">
        <is>
          <t>Регистрация пользователей не предусмотрена.</t>
        </is>
      </c>
    </row>
    <row r="36" ht="42" customHeight="1">
      <c r="A36" s="55" t="inlineStr">
        <is>
          <t>Регистрация</t>
        </is>
      </c>
      <c r="B36" s="53" t="inlineStr">
        <is>
          <t>CT-33</t>
        </is>
      </c>
      <c r="C36" s="54" t="inlineStr">
        <is>
          <t>После регистрации приходит уведомление на почту</t>
        </is>
      </c>
      <c r="D36" s="52" t="inlineStr">
        <is>
          <t>Not applied</t>
        </is>
      </c>
      <c r="E36" s="52" t="inlineStr">
        <is>
          <t>Регистрация и email-уведомления не предусмотрены.</t>
        </is>
      </c>
    </row>
    <row r="37" ht="42" customHeight="1">
      <c r="A37" s="55" t="inlineStr">
        <is>
          <t>Регистрация</t>
        </is>
      </c>
      <c r="B37" s="53" t="inlineStr">
        <is>
          <t>CT-34</t>
        </is>
      </c>
      <c r="C37" s="52" t="inlineStr">
        <is>
          <t>Отображение информативных оповещений о содержании ошибок ввода</t>
        </is>
      </c>
      <c r="D37" s="52" t="inlineStr">
        <is>
          <t>Not applied</t>
        </is>
      </c>
      <c r="E37" s="52" t="inlineStr">
        <is>
          <t>Форма регистрации отсутствует.</t>
        </is>
      </c>
    </row>
    <row r="38" ht="42" customHeight="1">
      <c r="A38" s="55" t="inlineStr">
        <is>
          <t>Регистрация</t>
        </is>
      </c>
      <c r="B38" s="53" t="inlineStr">
        <is>
          <t>CT-35</t>
        </is>
      </c>
      <c r="C38" s="52" t="inlineStr">
        <is>
          <t>При выполнении регистрации создается запись в БД</t>
        </is>
      </c>
      <c r="D38" s="52" t="inlineStr">
        <is>
          <t>Not applied</t>
        </is>
      </c>
      <c r="E38" s="52" t="inlineStr">
        <is>
          <t>База данных и регистрация пользователей не предусмотрены.</t>
        </is>
      </c>
    </row>
    <row r="39" ht="42" customHeight="1">
      <c r="A39" s="52" t="inlineStr">
        <is>
          <t>Авторизация</t>
        </is>
      </c>
      <c r="B39" s="53" t="inlineStr">
        <is>
          <t>CT-36</t>
        </is>
      </c>
      <c r="C39" s="52" t="inlineStr">
        <is>
          <t>Вход в аккаунт при корректном заполнении полей</t>
        </is>
      </c>
      <c r="D39" s="52" t="inlineStr">
        <is>
          <t>Not applied</t>
        </is>
      </c>
      <c r="E39" s="52" t="inlineStr">
        <is>
          <t>Авторизация не предусмотрена.</t>
        </is>
      </c>
    </row>
    <row r="40" ht="42" customHeight="1">
      <c r="A40" s="55" t="inlineStr">
        <is>
          <t>Авторизация</t>
        </is>
      </c>
      <c r="B40" s="53" t="inlineStr">
        <is>
          <t>CT-37</t>
        </is>
      </c>
      <c r="C40" s="52" t="inlineStr">
        <is>
          <t>Вход в аккаунт не выполняется при корректном логине, но неправильном пароле</t>
        </is>
      </c>
      <c r="D40" s="52" t="inlineStr">
        <is>
          <t>Not applied</t>
        </is>
      </c>
      <c r="E40" s="52" t="inlineStr">
        <is>
          <t>Авторизация не предусмотрена.</t>
        </is>
      </c>
    </row>
    <row r="41" ht="42" customHeight="1">
      <c r="A41" s="55" t="inlineStr">
        <is>
          <t>Авторизация</t>
        </is>
      </c>
      <c r="B41" s="53" t="inlineStr">
        <is>
          <t>CT-38</t>
        </is>
      </c>
      <c r="C41" s="54" t="inlineStr">
        <is>
          <t>Вход в аккаунт не выполняется при корректном пароле, но неправильном логине</t>
        </is>
      </c>
      <c r="D41" s="52" t="inlineStr">
        <is>
          <t>Not applied</t>
        </is>
      </c>
      <c r="E41" s="52" t="inlineStr">
        <is>
          <t>Авторизация не предусмотрена.</t>
        </is>
      </c>
    </row>
    <row r="42" ht="42" customHeight="1">
      <c r="A42" s="55" t="inlineStr">
        <is>
          <t>Авторизация</t>
        </is>
      </c>
      <c r="B42" s="53" t="inlineStr">
        <is>
          <t>CT-39</t>
        </is>
      </c>
      <c r="C42" s="52" t="inlineStr">
        <is>
          <t>При входе в аккаунт отображается профиль данного пользователя</t>
        </is>
      </c>
      <c r="D42" s="52" t="inlineStr">
        <is>
          <t>Not applied</t>
        </is>
      </c>
      <c r="E42" s="52" t="inlineStr">
        <is>
          <t>Профили пользователей не предусмотрены.</t>
        </is>
      </c>
    </row>
    <row r="43" ht="42" customHeight="1">
      <c r="A43" s="55" t="inlineStr">
        <is>
          <t>Авторизация</t>
        </is>
      </c>
      <c r="B43" s="53" t="inlineStr">
        <is>
          <t>CT-40</t>
        </is>
      </c>
      <c r="C43" s="52" t="inlineStr">
        <is>
          <t>При смене пользователя отображается профиль нового пользователя</t>
        </is>
      </c>
      <c r="D43" s="52" t="inlineStr">
        <is>
          <t>Not applied</t>
        </is>
      </c>
      <c r="E43" s="52" t="inlineStr">
        <is>
          <t>Профили пользователей не предусмотрены.</t>
        </is>
      </c>
    </row>
    <row r="44" ht="42" customHeight="1">
      <c r="A44" s="52" t="inlineStr">
        <is>
          <t>Поиск</t>
        </is>
      </c>
      <c r="B44" s="53" t="inlineStr">
        <is>
          <t>CT-41</t>
        </is>
      </c>
      <c r="C44" s="54" t="inlineStr">
        <is>
          <t>Корректны ли результаты поиска</t>
        </is>
      </c>
      <c r="D44" s="52" t="inlineStr">
        <is>
          <t>Not applied</t>
        </is>
      </c>
      <c r="E44" s="52" t="inlineStr">
        <is>
          <t>Функция поиска в симуляторе не предусмотрена.</t>
        </is>
      </c>
    </row>
    <row r="45" ht="42" customHeight="1">
      <c r="A45" s="55" t="inlineStr">
        <is>
          <t>Поиск</t>
        </is>
      </c>
      <c r="B45" s="53" t="inlineStr">
        <is>
          <t>CT-42</t>
        </is>
      </c>
      <c r="C45" s="52" t="inlineStr">
        <is>
          <t>Видно ли уведомление о результате поиска при отсутствии результатов</t>
        </is>
      </c>
      <c r="D45" s="52" t="inlineStr">
        <is>
          <t>Not applied</t>
        </is>
      </c>
      <c r="E45" s="52" t="inlineStr">
        <is>
          <t>Функция поиска отсутствует.</t>
        </is>
      </c>
    </row>
    <row r="46" ht="42" customHeight="1">
      <c r="A46" s="55" t="inlineStr">
        <is>
          <t>Поиск</t>
        </is>
      </c>
      <c r="B46" s="53" t="inlineStr">
        <is>
          <t>CT-43</t>
        </is>
      </c>
      <c r="C46" s="52" t="inlineStr">
        <is>
          <t>Есть ли возможность выполнять поиск по регистрозависимым данным</t>
        </is>
      </c>
      <c r="D46" s="52" t="inlineStr">
        <is>
          <t>Not applied</t>
        </is>
      </c>
      <c r="E46" s="52" t="inlineStr">
        <is>
          <t>Функция поиска отсутствует.</t>
        </is>
      </c>
    </row>
    <row r="47" ht="42" customHeight="1">
      <c r="A47" s="55" t="inlineStr">
        <is>
          <t>Поиск</t>
        </is>
      </c>
      <c r="B47" s="53" t="inlineStr">
        <is>
          <t>CT-44</t>
        </is>
      </c>
      <c r="C47" s="52" t="inlineStr">
        <is>
          <t>Присутствуют ли параметры фильтрации поиска</t>
        </is>
      </c>
      <c r="D47" s="52" t="inlineStr">
        <is>
          <t>Not applied</t>
        </is>
      </c>
      <c r="E47" s="52" t="inlineStr">
        <is>
          <t>Функция поиска и фильтрации отсутствует.</t>
        </is>
      </c>
    </row>
    <row r="48" ht="42" customHeight="1">
      <c r="A48" s="55" t="inlineStr">
        <is>
          <t>Поиск</t>
        </is>
      </c>
      <c r="B48" s="53" t="inlineStr">
        <is>
          <t>CT-45</t>
        </is>
      </c>
      <c r="C48" s="52" t="inlineStr">
        <is>
          <t>Может ли пользователь сортировать итоги поиска</t>
        </is>
      </c>
      <c r="D48" s="52" t="inlineStr">
        <is>
          <t>Not applied</t>
        </is>
      </c>
      <c r="E48" s="52" t="inlineStr">
        <is>
          <t>Функция поиска отсутствует.</t>
        </is>
      </c>
    </row>
    <row r="49" ht="42" customHeight="1">
      <c r="A49" s="57" t="inlineStr">
        <is>
          <t>Web-часть</t>
        </is>
      </c>
      <c r="B49" s="58" t="inlineStr">
        <is>
          <t>CP-01</t>
        </is>
      </c>
      <c r="C49" s="59" t="inlineStr">
        <is>
          <t>Открывается титульная страница index.html</t>
        </is>
      </c>
      <c r="D49" s="59" t="inlineStr">
        <is>
          <t>Passed</t>
        </is>
      </c>
      <c r="E49" s="59" t="inlineStr">
        <is>
          <t>Страница и её назначение подтверждены README/структурой репозитория.</t>
        </is>
      </c>
    </row>
    <row r="50" ht="42" customHeight="1">
      <c r="A50" s="60" t="inlineStr">
        <is>
          <t>Web-часть</t>
        </is>
      </c>
      <c r="B50" s="58" t="inlineStr">
        <is>
          <t>CP-02</t>
        </is>
      </c>
      <c r="C50" s="59" t="inlineStr">
        <is>
          <t>Навигация: Титул → Теория → Описание → Принцип работы → Симулятор</t>
        </is>
      </c>
      <c r="D50" s="59" t="inlineStr">
        <is>
          <t>Passed</t>
        </is>
      </c>
      <c r="E50" s="59" t="inlineStr">
        <is>
          <t>Все перечисленные страницы присутствуют в web-части проекта.</t>
        </is>
      </c>
    </row>
    <row r="51" ht="42" customHeight="1">
      <c r="A51" s="60" t="inlineStr">
        <is>
          <t>Web-часть</t>
        </is>
      </c>
      <c r="B51" s="58" t="inlineStr">
        <is>
          <t>CP-03</t>
        </is>
      </c>
      <c r="C51" s="59" t="inlineStr">
        <is>
          <t>Страница «Теория» содержит теоретические материалы</t>
        </is>
      </c>
      <c r="D51" s="59" t="inlineStr">
        <is>
          <t>Passed</t>
        </is>
      </c>
      <c r="E51" s="59" t="inlineStr">
        <is>
          <t>Наличие theory.html подтверждено структурой репозитория.</t>
        </is>
      </c>
    </row>
    <row r="52" ht="42" customHeight="1">
      <c r="A52" s="60" t="inlineStr">
        <is>
          <t>Web-часть</t>
        </is>
      </c>
      <c r="B52" s="58" t="inlineStr">
        <is>
          <t>CP-04</t>
        </is>
      </c>
      <c r="C52" s="61" t="inlineStr">
        <is>
          <t>Страница «Описание» содержит описание проекта/автожира</t>
        </is>
      </c>
      <c r="D52" s="59" t="inlineStr">
        <is>
          <t>Passed</t>
        </is>
      </c>
      <c r="E52" s="59" t="inlineStr">
        <is>
          <t>Наличие description.html подтверждено структурой репозитория.</t>
        </is>
      </c>
    </row>
    <row r="53" ht="42" customHeight="1">
      <c r="A53" s="60" t="inlineStr">
        <is>
          <t>Мультимедиа</t>
        </is>
      </c>
      <c r="B53" s="58" t="inlineStr">
        <is>
          <t>CP-05</t>
        </is>
      </c>
      <c r="C53" s="61" t="inlineStr">
        <is>
          <t>Интерактивная аудиокарта содержит части автожира и аудиоописания</t>
        </is>
      </c>
      <c r="D53" s="59" t="inlineStr">
        <is>
          <t>Blocked</t>
        </is>
      </c>
      <c r="E53" s="59" t="inlineStr">
        <is>
          <t>Структура мультимедиа есть, но фактическое воспроизведение требует запуска web-части.</t>
        </is>
      </c>
    </row>
    <row r="54" ht="42" customHeight="1">
      <c r="A54" s="60" t="inlineStr">
        <is>
          <t>Мультимедиа</t>
        </is>
      </c>
      <c r="B54" s="58" t="inlineStr">
        <is>
          <t>CP-06</t>
        </is>
      </c>
      <c r="C54" s="61" t="inlineStr">
        <is>
          <t>Видео на странице «Принцип работы» воспроизводится</t>
        </is>
      </c>
      <c r="D54" s="59" t="inlineStr">
        <is>
          <t>Blocked</t>
        </is>
      </c>
      <c r="E54" s="59" t="inlineStr">
        <is>
          <t>Требуется запуск страницы и проверка воспроизведения в браузере.</t>
        </is>
      </c>
    </row>
    <row r="55" ht="42" customHeight="1">
      <c r="A55" s="60" t="inlineStr">
        <is>
          <t>WebGL</t>
        </is>
      </c>
      <c r="B55" s="58" t="inlineStr">
        <is>
          <t>CP-07</t>
        </is>
      </c>
      <c r="C55" s="61" t="inlineStr">
        <is>
          <t>Страница «Симулятор» содержит встроенную WebGL-сборку</t>
        </is>
      </c>
      <c r="D55" s="59" t="inlineStr">
        <is>
          <t>Passed</t>
        </is>
      </c>
      <c r="E55" s="59" t="inlineStr">
        <is>
          <t>README указывает web/simulator.html и встроенный WebGL build.</t>
        </is>
      </c>
    </row>
    <row r="56" ht="42" customHeight="1">
      <c r="A56" s="60" t="inlineStr">
        <is>
          <t>Запуск</t>
        </is>
      </c>
      <c r="B56" s="58" t="inlineStr">
        <is>
          <t>CP-08</t>
        </is>
      </c>
      <c r="C56" s="61" t="inlineStr">
        <is>
          <t>Windows-сборка Autogyro.exe запускается без критической ошибки</t>
        </is>
      </c>
      <c r="D56" s="59" t="inlineStr">
        <is>
          <t>Blocked</t>
        </is>
      </c>
      <c r="E56" s="59" t="inlineStr">
        <is>
          <t>Требуется фактический запуск локальной Windows-сборки.</t>
        </is>
      </c>
    </row>
    <row r="57" ht="42" customHeight="1">
      <c r="A57" s="57" t="inlineStr">
        <is>
          <t>Бортовые системы</t>
        </is>
      </c>
      <c r="B57" s="58" t="inlineStr">
        <is>
          <t>CP-09</t>
        </is>
      </c>
      <c r="C57" s="61" t="inlineStr">
        <is>
          <t>Система запуска двигателя: Master → Battery → Generator/EMS → Fuel pumps → Ignition → Starter</t>
        </is>
      </c>
      <c r="D57" s="59" t="inlineStr">
        <is>
          <t>Blocked</t>
        </is>
      </c>
      <c r="E57" s="59" t="inlineStr">
        <is>
          <t>Сценарий заявлен в проекте, но требует runtime-проверки.</t>
        </is>
      </c>
    </row>
    <row r="58" ht="42" customHeight="1">
      <c r="A58" s="60" t="inlineStr">
        <is>
          <t>Кабина</t>
        </is>
      </c>
      <c r="B58" s="58" t="inlineStr">
        <is>
          <t>CP-10</t>
        </is>
      </c>
      <c r="C58" s="61" t="inlineStr">
        <is>
          <t>Переключатели кабины изменяют состояние по ЛКМ</t>
        </is>
      </c>
      <c r="D58" s="59" t="inlineStr">
        <is>
          <t>Blocked</t>
        </is>
      </c>
      <c r="E58" s="59" t="inlineStr">
        <is>
          <t>Требуется запуск Unity/WebGL и взаимодействие мышью.</t>
        </is>
      </c>
    </row>
    <row r="59" ht="42" customHeight="1">
      <c r="A59" s="60" t="inlineStr">
        <is>
          <t>Кабина</t>
        </is>
      </c>
      <c r="B59" s="58" t="inlineStr">
        <is>
          <t>CP-11</t>
        </is>
      </c>
      <c r="C59" s="61" t="inlineStr">
        <is>
          <t>Подсказки переключателей отображаются при удержании Left Alt</t>
        </is>
      </c>
      <c r="D59" s="59" t="inlineStr">
        <is>
          <t>Blocked</t>
        </is>
      </c>
      <c r="E59" s="59" t="inlineStr">
        <is>
          <t>Требуется runtime-проверка взаимодействия.</t>
        </is>
      </c>
    </row>
    <row r="60" ht="42" customHeight="1">
      <c r="A60" s="60" t="inlineStr">
        <is>
          <t>Камеры</t>
        </is>
      </c>
      <c r="B60" s="58" t="inlineStr">
        <is>
          <t>CP-12</t>
        </is>
      </c>
      <c r="C60" s="61" t="inlineStr">
        <is>
          <t>Клавиша C переключает внешнюю и cockpit-камеру</t>
        </is>
      </c>
      <c r="D60" s="59" t="inlineStr">
        <is>
          <t>Blocked</t>
        </is>
      </c>
      <c r="E60" s="59" t="inlineStr">
        <is>
          <t>Требуется запуск симулятора.</t>
        </is>
      </c>
    </row>
    <row r="61" ht="42" customHeight="1">
      <c r="A61" s="60" t="inlineStr">
        <is>
          <t>Управление</t>
        </is>
      </c>
      <c r="B61" s="58" t="inlineStr">
        <is>
          <t>CP-13</t>
        </is>
      </c>
      <c r="C61" s="61" t="inlineStr">
        <is>
          <t>Колесо мыши изменяет газ/обороты двигателя</t>
        </is>
      </c>
      <c r="D61" s="59" t="inlineStr">
        <is>
          <t>Blocked</t>
        </is>
      </c>
      <c r="E61" s="59" t="inlineStr">
        <is>
          <t>Требуется runtime-проверка.</t>
        </is>
      </c>
    </row>
    <row r="62" ht="42" customHeight="1">
      <c r="A62" s="57" t="inlineStr">
        <is>
          <t>Управление</t>
        </is>
      </c>
      <c r="B62" s="58" t="inlineStr">
        <is>
          <t>CP-14</t>
        </is>
      </c>
      <c r="C62" s="61" t="inlineStr">
        <is>
          <t>ЛКМ + движение мыши управляет тангажом и креном</t>
        </is>
      </c>
      <c r="D62" s="59" t="inlineStr">
        <is>
          <t>Blocked</t>
        </is>
      </c>
      <c r="E62" s="59" t="inlineStr">
        <is>
          <t>Требуется runtime-проверка.</t>
        </is>
      </c>
    </row>
    <row r="63" ht="42" customHeight="1">
      <c r="A63" s="60" t="inlineStr">
        <is>
          <t>Управление</t>
        </is>
      </c>
      <c r="B63" s="58" t="inlineStr">
        <is>
          <t>CP-15</t>
        </is>
      </c>
      <c r="C63" s="61" t="inlineStr">
        <is>
          <t>A/D управляют рысканием/поворотом</t>
        </is>
      </c>
      <c r="D63" s="59" t="inlineStr">
        <is>
          <t>Blocked</t>
        </is>
      </c>
      <c r="E63" s="59" t="inlineStr">
        <is>
          <t>Требуется runtime-проверка.</t>
        </is>
      </c>
    </row>
    <row r="64" ht="42" customHeight="1">
      <c r="A64" s="60" t="inlineStr">
        <is>
          <t>Ротор</t>
        </is>
      </c>
      <c r="B64" s="58" t="inlineStr">
        <is>
          <t>CP-16</t>
        </is>
      </c>
      <c r="C64" s="61" t="inlineStr">
        <is>
          <t>Space запускает предварительную раскрутку ротора</t>
        </is>
      </c>
      <c r="D64" s="59" t="inlineStr">
        <is>
          <t>Blocked</t>
        </is>
      </c>
      <c r="E64" s="59" t="inlineStr">
        <is>
          <t>Требуется runtime-проверка.</t>
        </is>
      </c>
    </row>
    <row r="65" ht="42" customHeight="1">
      <c r="A65" s="60" t="inlineStr">
        <is>
          <t>Тормоз</t>
        </is>
      </c>
      <c r="B65" s="58" t="inlineStr">
        <is>
          <t>CP-17</t>
        </is>
      </c>
      <c r="C65" s="61" t="inlineStr">
        <is>
          <t>B включает/выключает стояночный тормоз</t>
        </is>
      </c>
      <c r="D65" s="59" t="inlineStr">
        <is>
          <t>Blocked</t>
        </is>
      </c>
      <c r="E65" s="59" t="inlineStr">
        <is>
          <t>Требуется runtime-проверка.</t>
        </is>
      </c>
    </row>
    <row r="66" ht="42" customHeight="1">
      <c r="A66" s="60" t="inlineStr">
        <is>
          <t>Восстановление</t>
        </is>
      </c>
      <c r="B66" s="58" t="inlineStr">
        <is>
          <t>CP-18</t>
        </is>
      </c>
      <c r="C66" s="61" t="inlineStr">
        <is>
          <t>R выполняет восстановление/сброс состояния</t>
        </is>
      </c>
      <c r="D66" s="59" t="inlineStr">
        <is>
          <t>Blocked</t>
        </is>
      </c>
      <c r="E66" s="59" t="inlineStr">
        <is>
          <t>Требуется runtime-проверка.</t>
        </is>
      </c>
    </row>
    <row r="67" ht="42" customHeight="1">
      <c r="A67" s="57" t="inlineStr">
        <is>
          <t>Физика</t>
        </is>
      </c>
      <c r="B67" s="58" t="inlineStr">
        <is>
          <t>CP-19</t>
        </is>
      </c>
      <c r="C67" s="61" t="inlineStr">
        <is>
          <t>Реализованы тяга винта, подъёмная сила ротора, авторотация, сопротивление и наземное/воздушное поведение</t>
        </is>
      </c>
      <c r="D67" s="59" t="inlineStr">
        <is>
          <t>Passed</t>
        </is>
      </c>
      <c r="E67" s="59" t="inlineStr">
        <is>
          <t>Наличие соответствующего функционала заявлено в README и привязано к GyrocopterFlight.cs; численная корректность требует runtime-теста.</t>
        </is>
      </c>
    </row>
    <row r="68" ht="42" customHeight="1">
      <c r="A68" s="60" t="inlineStr">
        <is>
          <t>Телеметрия</t>
        </is>
      </c>
      <c r="B68" s="58" t="inlineStr">
        <is>
          <t>CP-20</t>
        </is>
      </c>
      <c r="C68" s="61" t="inlineStr">
        <is>
          <t>Отображаются высота, скорость, обороты ротора и двигателя</t>
        </is>
      </c>
      <c r="D68" s="59" t="inlineStr">
        <is>
          <t>Blocked</t>
        </is>
      </c>
      <c r="E68" s="59" t="inlineStr">
        <is>
          <t>Требуется запуск симулятора и визуальная проверка показаний.</t>
        </is>
      </c>
    </row>
    <row r="69" ht="42" customHeight="1">
      <c r="A69" s="60" t="inlineStr">
        <is>
          <t>Практика</t>
        </is>
      </c>
      <c r="B69" s="58" t="inlineStr">
        <is>
          <t>CP-21</t>
        </is>
      </c>
      <c r="C69" s="61" t="inlineStr">
        <is>
          <t>Практический сценарий: запуск → руление → раскрутка → взлёт → контрольные точки</t>
        </is>
      </c>
      <c r="D69" s="59" t="inlineStr">
        <is>
          <t>Blocked</t>
        </is>
      </c>
      <c r="E69" s="59" t="inlineStr">
        <is>
          <t>Требуется прохождение сценария в запущенном симуляторе.</t>
        </is>
      </c>
    </row>
    <row r="70" ht="42" customHeight="1">
      <c r="A70" s="60" t="inlineStr">
        <is>
          <t>Результаты</t>
        </is>
      </c>
      <c r="B70" s="58" t="inlineStr">
        <is>
          <t>CP-22</t>
        </is>
      </c>
      <c r="C70" s="59" t="inlineStr">
        <is>
          <t>После практики сохраняются/отображаются результаты: RPM ротора, скорость взлёта, максимальная высота, время</t>
        </is>
      </c>
      <c r="D70" s="59" t="inlineStr">
        <is>
          <t>Blocked</t>
        </is>
      </c>
      <c r="E70" s="59" t="inlineStr">
        <is>
          <t>Требуется прохождение практики и проверка таблицы результатов.</t>
        </is>
      </c>
    </row>
    <row r="71" ht="42" customHeight="1">
      <c r="A71" s="60" t="inlineStr">
        <is>
          <t>WebGL</t>
        </is>
      </c>
      <c r="B71" s="58" t="inlineStr">
        <is>
          <t>CP-23</t>
        </is>
      </c>
      <c r="C71" s="59" t="inlineStr">
        <is>
          <t>WebGL-сборка открывается через локальный HTTP-сервер</t>
        </is>
      </c>
      <c r="D71" s="59" t="inlineStr">
        <is>
          <t>Blocked</t>
        </is>
      </c>
      <c r="E71" s="60" t="inlineStr">
        <is>
          <t>Требуется запуск локального сервера и браузерная проверка.</t>
        </is>
      </c>
    </row>
    <row r="72" ht="12.75" customHeight="1">
      <c r="C72" s="62" t="n"/>
      <c r="D72" s="12" t="n"/>
    </row>
    <row r="73" ht="12.75" customHeight="1">
      <c r="A73" s="63" t="inlineStr">
        <is>
          <t>Статусы:</t>
        </is>
      </c>
      <c r="B73" s="64" t="inlineStr">
        <is>
          <t>Not tested</t>
        </is>
      </c>
      <c r="C73" s="65" t="inlineStr">
        <is>
          <t>Passed</t>
        </is>
      </c>
      <c r="D73" s="66" t="inlineStr">
        <is>
          <t>Failed</t>
        </is>
      </c>
      <c r="E73" s="67" t="inlineStr">
        <is>
          <t>Blocked</t>
        </is>
      </c>
      <c r="F73" s="68" t="inlineStr">
        <is>
          <t>Not applied</t>
        </is>
      </c>
    </row>
    <row r="74" ht="12.75" customHeight="1">
      <c r="A74" s="63" t="inlineStr">
        <is>
          <t>Примечание:</t>
        </is>
      </c>
      <c r="B74" s="69" t="inlineStr">
        <is>
          <t>Blocked использован только там, где проверка требует фактического запуска локальной сборки/браузера. Passed означает проверку по доступной структуре/описанию репозитория, а не полное runtime-тестирование.</t>
        </is>
      </c>
    </row>
    <row r="75" ht="12.75" customHeight="1">
      <c r="C75" s="12" t="n"/>
      <c r="D75" s="12" t="n"/>
    </row>
    <row r="76" ht="12.75" customHeight="1">
      <c r="C76" s="15" t="n"/>
    </row>
    <row r="77" ht="12.75" customHeight="1">
      <c r="C77" s="15" t="n"/>
    </row>
    <row r="78" ht="12.75" customHeight="1">
      <c r="C78" s="15" t="n"/>
    </row>
    <row r="79" ht="12.75" customHeight="1">
      <c r="C79" s="15" t="n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</sheetData>
  <autoFilter ref="A3:E71"/>
  <mergeCells count="3">
    <mergeCell ref="A2:E2"/>
    <mergeCell ref="B74:E74"/>
    <mergeCell ref="A1:E1"/>
  </mergeCells>
  <conditionalFormatting sqref="C73:C75 D4:D70">
    <cfRule type="containsText" priority="1" operator="containsText" dxfId="4" text="Not tested">
      <formula>NOT(ISERROR(SEARCH(("Not tested"),(D4))))</formula>
    </cfRule>
    <cfRule type="containsText" priority="2" operator="containsText" dxfId="3" text="Passed">
      <formula>NOT(ISERROR(SEARCH(("Passed"),(D4))))</formula>
    </cfRule>
    <cfRule type="containsText" priority="3" operator="containsText" dxfId="2" text="Failed">
      <formula>NOT(ISERROR(SEARCH(("Failed"),(D4))))</formula>
    </cfRule>
    <cfRule type="containsText" priority="4" operator="containsText" dxfId="1" text="Blocked">
      <formula>NOT(ISERROR(SEARCH(("Blocked"),(D4))))</formula>
    </cfRule>
    <cfRule type="containsText" priority="5" operator="containsText" dxfId="0" text="Not applied">
      <formula>NOT(ISERROR(SEARCH(("Not applied"),(D4))))</formula>
    </cfRule>
  </conditionalFormatting>
  <conditionalFormatting sqref="D44:D70">
    <cfRule type="containsText" priority="6" operator="containsText" dxfId="4" text="Not tested">
      <formula>NOT(ISERROR(SEARCH(("Not tested"),(D44))))</formula>
    </cfRule>
    <cfRule type="containsText" priority="7" operator="containsText" dxfId="3" text="Passed">
      <formula>NOT(ISERROR(SEARCH(("Passed"),(D44))))</formula>
    </cfRule>
    <cfRule type="containsText" priority="8" operator="containsText" dxfId="2" text="Failed">
      <formula>NOT(ISERROR(SEARCH(("Failed"),(D44))))</formula>
    </cfRule>
    <cfRule type="containsText" priority="9" operator="containsText" dxfId="1" text="Blocked">
      <formula>NOT(ISERROR(SEARCH(("Blocked"),(D44))))</formula>
    </cfRule>
    <cfRule type="containsText" priority="10" operator="containsText" dxfId="0" text="Not applied">
      <formula>NOT(ISERROR(SEARCH(("Not applied"),(D44))))</formula>
    </cfRule>
  </conditionalFormatting>
  <conditionalFormatting sqref="D52:D55">
    <cfRule type="containsText" priority="11" operator="containsText" dxfId="4" text="Not tested">
      <formula>NOT(ISERROR(SEARCH(("Not tested"),(D52))))</formula>
    </cfRule>
    <cfRule type="containsText" priority="12" operator="containsText" dxfId="3" text="Passed">
      <formula>NOT(ISERROR(SEARCH(("Passed"),(D52))))</formula>
    </cfRule>
    <cfRule type="containsText" priority="13" operator="containsText" dxfId="2" text="Failed">
      <formula>NOT(ISERROR(SEARCH(("Failed"),(D52))))</formula>
    </cfRule>
    <cfRule type="containsText" priority="14" operator="containsText" dxfId="1" text="Blocked">
      <formula>NOT(ISERROR(SEARCH(("Blocked"),(D52))))</formula>
    </cfRule>
    <cfRule type="containsText" priority="15" operator="containsText" dxfId="0" text="Not applied">
      <formula>NOT(ISERROR(SEARCH(("Not applied"),(D52))))</formula>
    </cfRule>
  </conditionalFormatting>
  <conditionalFormatting sqref="D4:D71">
    <cfRule type="cellIs" priority="16" operator="equal" dxfId="15">
      <formula>"Passed"</formula>
    </cfRule>
    <cfRule type="cellIs" priority="17" operator="equal" dxfId="16">
      <formula>"Failed"</formula>
    </cfRule>
    <cfRule type="cellIs" priority="18" operator="equal" dxfId="17">
      <formula>"Blocked"</formula>
    </cfRule>
    <cfRule type="cellIs" priority="19" operator="equal" dxfId="18">
      <formula>"Not applied"</formula>
    </cfRule>
    <cfRule type="cellIs" priority="20" operator="equal" dxfId="19">
      <formula>"Not tested"</formula>
    </cfRule>
  </conditionalFormatting>
  <dataValidations count="2">
    <dataValidation sqref="D4:D70" showDropDown="0" showInputMessage="0" showErrorMessage="0" allowBlank="1" type="list">
      <formula1>"Not tested,Passed,Failed,Blocked,Not applied"</formula1>
    </dataValidation>
    <dataValidation sqref="D4:D71" showDropDown="0" showInputMessage="0" showErrorMessage="0" allowBlank="0" type="list">
      <formula1>"Not tested,Passed,Failed,Blocked,Not applied"</formula1>
    </dataValidation>
  </dataValidation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Axana Skinder</dc:creator>
  <dcterms:created xmlns:dcterms="http://purl.org/dc/terms/" xmlns:xsi="http://www.w3.org/2001/XMLSchema-instance" xsi:type="dcterms:W3CDTF">2019-11-29T08:19:55Z</dcterms:created>
  <dcterms:modified xmlns:dcterms="http://purl.org/dc/terms/" xmlns:xsi="http://www.w3.org/2001/XMLSchema-instance" xsi:type="dcterms:W3CDTF">2026-09-22T16:52:16Z</dcterms:modified>
  <cp:lastModifiedBy>Владислав Васильев</cp:lastModifiedBy>
</cp:coreProperties>
</file>